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workbookPr/>
  <mc:AlternateContent xmlns:mc="http://schemas.openxmlformats.org/markup-compatibility/2006">
    <mc:Choice Requires="x15">
      <x15ac:absPath xmlns:x15ac="http://schemas.microsoft.com/office/spreadsheetml/2010/11/ac" url="C:\Users\admin\Desktop\es-ES\"/>
    </mc:Choice>
  </mc:AlternateContent>
  <xr:revisionPtr revIDLastSave="0" documentId="10_ncr:100000_{8E36BD53-FF19-4EEF-9EA2-2ED18854B028}" xr6:coauthVersionLast="31" xr6:coauthVersionMax="31" xr10:uidLastSave="{00000000-0000-0000-0000-000000000000}"/>
  <bookViews>
    <workbookView xWindow="0" yWindow="0" windowWidth="20490" windowHeight="7620" xr2:uid="{00000000-000D-0000-FFFF-FFFF00000000}"/>
  </bookViews>
  <sheets>
    <sheet name="Propuesta" sheetId="1" r:id="rId1"/>
  </sheets>
  <definedNames>
    <definedName name="Otros">Propuesta!$G$34</definedName>
    <definedName name="RegiónDeTítuloDeColumna1..B6.1">Propuesta!$B$5</definedName>
    <definedName name="RegiónDeTítuloDeColumna10..B24.1">Propuesta!$B$23</definedName>
    <definedName name="RegiónDeTítuloDeColumna11..B26.1">Propuesta!$B$25</definedName>
    <definedName name="RegiónDeTítuloDeColumna12..B28.1">Propuesta!$B$27</definedName>
    <definedName name="RegiónDeTítuloDeColumna13..B30.1">Propuesta!$B$29</definedName>
    <definedName name="RegiónDeTítuloDeColumna14..D33">Propuesta!$D$32</definedName>
    <definedName name="RegiónDeTítuloDeColumna2..B8.1">Propuesta!$B$7</definedName>
    <definedName name="RegiónDeTítuloDeColumna3..B10.1">Propuesta!$B$9</definedName>
    <definedName name="RegiónDeTítuloDeColumna4..B12.1">Propuesta!$B$11</definedName>
    <definedName name="RegiónDeTítuloDeColumna5..B14.1">Propuesta!$B$13</definedName>
    <definedName name="RegiónDeTítuloDeColumna6..B16.1">Propuesta!$B$15</definedName>
    <definedName name="RegiónDeTítuloDeColumna7..B18.1">Propuesta!$B$17</definedName>
    <definedName name="RegiónDeTítuloDeColumna8..B20.1">Propuesta!$B$19</definedName>
    <definedName name="RegiónDeTítuloDeColumna9..B22.1">Propuesta!$B$21</definedName>
    <definedName name="RegiónDeTítuloDeFila1..G35">ElementosDeLínea[[#Totals],[PRECIO POR UNIDAD]]</definedName>
    <definedName name="Subtotal">ElementosDeLínea[[#Totals],[IMPORTE]]</definedName>
    <definedName name="TipoImpositivo">Propuesta!$G$32</definedName>
    <definedName name="TítuloDeColumna1">ElementosDeLínea[[#Headers],[CANTIDAD]]</definedName>
    <definedName name="_xlnm.Print_Titles" localSheetId="0">Propuesta!$B:$B,Propuesta!$4:$4</definedName>
  </definedNames>
  <calcPr calcId="179017"/>
</workbook>
</file>

<file path=xl/calcChain.xml><?xml version="1.0" encoding="utf-8"?>
<calcChain xmlns="http://schemas.openxmlformats.org/spreadsheetml/2006/main">
  <c r="G30" i="1" l="1"/>
  <c r="G29" i="1"/>
  <c r="G28" i="1"/>
  <c r="G27" i="1"/>
  <c r="G26" i="1"/>
  <c r="G25" i="1"/>
  <c r="G24" i="1"/>
  <c r="G23" i="1"/>
  <c r="G22" i="1"/>
  <c r="G21" i="1"/>
  <c r="G20" i="1"/>
  <c r="G19" i="1"/>
  <c r="G18" i="1"/>
  <c r="G17" i="1"/>
  <c r="G16" i="1"/>
  <c r="G15" i="1"/>
  <c r="G14" i="1"/>
  <c r="G13" i="1"/>
  <c r="G12" i="1"/>
  <c r="G11" i="1"/>
  <c r="G10" i="1"/>
  <c r="G9" i="1"/>
  <c r="G8" i="1"/>
  <c r="G7" i="1"/>
  <c r="G6" i="1"/>
  <c r="G5" i="1"/>
  <c r="G31" i="1" l="1"/>
  <c r="B10" i="1"/>
  <c r="B30" i="1"/>
  <c r="G33" i="1" l="1"/>
  <c r="G35" i="1" s="1"/>
</calcChain>
</file>

<file path=xl/sharedStrings.xml><?xml version="1.0" encoding="utf-8"?>
<sst xmlns="http://schemas.openxmlformats.org/spreadsheetml/2006/main" count="50" uniqueCount="50">
  <si>
    <t>CLIENTE</t>
  </si>
  <si>
    <t>Escriba el nombre del cliente en esta celda.</t>
  </si>
  <si>
    <t>N.º DE PRESUPUESTO</t>
  </si>
  <si>
    <t>C-1234</t>
  </si>
  <si>
    <t>FECHA</t>
  </si>
  <si>
    <t>DIRECCIÓN</t>
  </si>
  <si>
    <t>Escriba la dirección del cliente en esta celda.</t>
  </si>
  <si>
    <t>CIUDAD/ESTADO O PROVINCIA/CÓDIGO POSTAL</t>
  </si>
  <si>
    <t>Escriba la ciudad, la provincia o el estado y el código postal del cliente en esta celda.</t>
  </si>
  <si>
    <t>TELÉFONO</t>
  </si>
  <si>
    <t>Escriba el número de teléfono del cliente en esta celda.</t>
  </si>
  <si>
    <t>CORREO ELECTRÓNICO</t>
  </si>
  <si>
    <t>Escriba la dirección de correo electrónico del cliente en esta celda.</t>
  </si>
  <si>
    <t>VENDEDOR</t>
  </si>
  <si>
    <t>Escriba el nombre del vendedor en esta celda.</t>
  </si>
  <si>
    <t>PROYECTO</t>
  </si>
  <si>
    <t>Escriba el nombre del proyecto en esta celda.</t>
  </si>
  <si>
    <t>PREPARADO POR:</t>
  </si>
  <si>
    <t>Escriba el nombre de la persona que lo ha preparado en esta celda.</t>
  </si>
  <si>
    <t>A LA ATENCIÓN DE:</t>
  </si>
  <si>
    <t>Escriba el nombre de la persona a quien va dirigida la propuesta en esta celda.</t>
  </si>
  <si>
    <t>CONDICIONES DE PAGO</t>
  </si>
  <si>
    <t>A 30 días</t>
  </si>
  <si>
    <t>FECHA DE VENCIMIENTO</t>
  </si>
  <si>
    <t>PROPUESTA DE CONSTRUCCIÓN</t>
  </si>
  <si>
    <t>Nombre de la empresa</t>
  </si>
  <si>
    <t>Teléfono</t>
  </si>
  <si>
    <t>CANTIDAD</t>
  </si>
  <si>
    <t>ESTA PROPUESTA INCLUYE LAS CONDICIONES QUE SE INDICAN A CONTINUACIÓN:</t>
  </si>
  <si>
    <t>Escriba aquí las condiciones.</t>
  </si>
  <si>
    <t>Firme a continuación para aceptar la oferta:</t>
  </si>
  <si>
    <t>Representante autorizado</t>
  </si>
  <si>
    <t>| Escriba la dirección de la empresa en esta celda.</t>
  </si>
  <si>
    <t>| Escriba el número de fax y la dirección de correo electrónico de contacto de la empresa en esta celda.</t>
  </si>
  <si>
    <t>DESCRIPCIÓN</t>
  </si>
  <si>
    <t>Artículo 1</t>
  </si>
  <si>
    <t>Artículo 2</t>
  </si>
  <si>
    <t>Artículo 3</t>
  </si>
  <si>
    <t>Artículo 4</t>
  </si>
  <si>
    <t>Artículo 5</t>
  </si>
  <si>
    <t>Artículo 6</t>
  </si>
  <si>
    <t>Artículo 7</t>
  </si>
  <si>
    <t>PRECIO POR UNIDAD</t>
  </si>
  <si>
    <t>SUBTOTAL</t>
  </si>
  <si>
    <t xml:space="preserve">TASA DE IMPUESTO </t>
  </si>
  <si>
    <t xml:space="preserve">IMPUESTO SOBRE LAS VENTAS </t>
  </si>
  <si>
    <t xml:space="preserve">OTROS </t>
  </si>
  <si>
    <t xml:space="preserve">TOTAL </t>
  </si>
  <si>
    <t>IMPORTE</t>
  </si>
  <si>
    <t>Fecha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</si>
</sst>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7" formatCode="#,##0.00\ &quot;€&quot;;\-#,##0.00\ &quot;€&quot;"/>
    <numFmt numFmtId="164" formatCode="_(* #,##0_);_(* \(#,##0\);_(* &quot;-&quot;_);_(@_)"/>
    <numFmt numFmtId="168" formatCode="[&lt;=9999999]###\-####;\(###\)\ ###\-####"/>
  </numFmts>
  <fonts count="19" x14ac:knownFonts="1">
    <font>
      <sz val="11"/>
      <color theme="3"/>
      <name val="Arial"/>
      <family val="2"/>
      <scheme val="minor"/>
    </font>
    <font>
      <sz val="11"/>
      <color theme="1"/>
      <name val="Arial"/>
      <family val="2"/>
      <scheme val="minor"/>
    </font>
    <font>
      <sz val="9"/>
      <color theme="3"/>
      <name val="Arial"/>
      <family val="2"/>
      <scheme val="minor"/>
    </font>
    <font>
      <sz val="25"/>
      <color theme="4"/>
      <name val="Arial"/>
      <family val="2"/>
      <scheme val="major"/>
    </font>
    <font>
      <sz val="11"/>
      <color theme="3" tint="0.24994659260841701"/>
      <name val="Arial"/>
      <family val="2"/>
      <scheme val="minor"/>
    </font>
    <font>
      <sz val="11"/>
      <color theme="3"/>
      <name val="Arial"/>
      <family val="2"/>
      <scheme val="minor"/>
    </font>
    <font>
      <b/>
      <i/>
      <sz val="11"/>
      <color theme="3"/>
      <name val="Arial"/>
      <family val="2"/>
      <scheme val="minor"/>
    </font>
    <font>
      <b/>
      <sz val="11"/>
      <color theme="3" tint="0.24994659260841701"/>
      <name val="Arial"/>
      <family val="2"/>
      <scheme val="minor"/>
    </font>
    <font>
      <sz val="11"/>
      <color theme="4" tint="-0.24994659260841701"/>
      <name val="Arial"/>
      <family val="2"/>
      <scheme val="minor"/>
    </font>
    <font>
      <b/>
      <sz val="11"/>
      <color theme="3"/>
      <name val="Arial"/>
      <family val="2"/>
      <scheme val="minor"/>
    </font>
    <font>
      <sz val="11"/>
      <color rgb="FF006100"/>
      <name val="Arial"/>
      <family val="2"/>
      <scheme val="minor"/>
    </font>
    <font>
      <sz val="11"/>
      <color rgb="FF9C0006"/>
      <name val="Arial"/>
      <family val="2"/>
      <scheme val="minor"/>
    </font>
    <font>
      <sz val="11"/>
      <color rgb="FF9C5700"/>
      <name val="Arial"/>
      <family val="2"/>
      <scheme val="minor"/>
    </font>
    <font>
      <b/>
      <sz val="11"/>
      <color rgb="FF3F3F3F"/>
      <name val="Arial"/>
      <family val="2"/>
      <scheme val="minor"/>
    </font>
    <font>
      <b/>
      <sz val="11"/>
      <color rgb="FFFA7D00"/>
      <name val="Arial"/>
      <family val="2"/>
      <scheme val="minor"/>
    </font>
    <font>
      <sz val="11"/>
      <color rgb="FFFA7D00"/>
      <name val="Arial"/>
      <family val="2"/>
      <scheme val="minor"/>
    </font>
    <font>
      <b/>
      <sz val="11"/>
      <color theme="0"/>
      <name val="Arial"/>
      <family val="2"/>
      <scheme val="minor"/>
    </font>
    <font>
      <sz val="11"/>
      <color rgb="FFFF0000"/>
      <name val="Arial"/>
      <family val="2"/>
      <scheme val="minor"/>
    </font>
    <font>
      <sz val="11"/>
      <color theme="0"/>
      <name val="Arial"/>
      <family val="2"/>
      <scheme val="minor"/>
    </font>
  </fonts>
  <fills count="34">
    <fill>
      <patternFill patternType="none"/>
    </fill>
    <fill>
      <patternFill patternType="gray125"/>
    </fill>
    <fill>
      <patternFill patternType="lightUp">
        <fgColor theme="3" tint="0.89996032593768116"/>
        <bgColor auto="1"/>
      </patternFill>
    </fill>
    <fill>
      <patternFill patternType="lightUp">
        <fgColor theme="3" tint="0.89996032593768116"/>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2">
    <border>
      <left/>
      <right/>
      <top/>
      <bottom/>
      <diagonal/>
    </border>
    <border>
      <left/>
      <right/>
      <top/>
      <bottom style="thick">
        <color theme="3" tint="0.749961851863155"/>
      </bottom>
      <diagonal/>
    </border>
    <border>
      <left/>
      <right/>
      <top/>
      <bottom style="thin">
        <color theme="3" tint="0.749961851863155"/>
      </bottom>
      <diagonal/>
    </border>
    <border>
      <left/>
      <right/>
      <top/>
      <bottom style="hair">
        <color theme="3" tint="0.24994659260841701"/>
      </bottom>
      <diagonal/>
    </border>
    <border>
      <left/>
      <right/>
      <top style="thin">
        <color theme="3" tint="0.749961851863155"/>
      </top>
      <bottom/>
      <diagonal/>
    </border>
    <border>
      <left/>
      <right/>
      <top style="hair">
        <color theme="3" tint="0.24994659260841701"/>
      </top>
      <bottom/>
      <diagonal/>
    </border>
    <border>
      <left/>
      <right/>
      <top style="thin">
        <color theme="3" tint="0.749961851863155"/>
      </top>
      <bottom style="thin">
        <color theme="3" tint="0.749961851863155"/>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s>
  <cellStyleXfs count="56">
    <xf numFmtId="0" fontId="0" fillId="0" borderId="0">
      <alignment horizontal="left" vertical="center" wrapText="1" indent="1"/>
    </xf>
    <xf numFmtId="0" fontId="3" fillId="0" borderId="0"/>
    <xf numFmtId="168" fontId="5" fillId="0" borderId="0" applyFont="0" applyFill="0" applyBorder="0">
      <alignment horizontal="left" vertical="top" wrapText="1"/>
    </xf>
    <xf numFmtId="0" fontId="7" fillId="0" borderId="0" applyNumberFormat="0" applyFill="0" applyProtection="0">
      <alignment horizontal="left" vertical="center" indent="1"/>
    </xf>
    <xf numFmtId="0" fontId="4" fillId="0" borderId="5">
      <alignment horizontal="left" vertical="top" wrapText="1"/>
    </xf>
    <xf numFmtId="0" fontId="4" fillId="0" borderId="0" applyNumberFormat="0" applyFill="0" applyBorder="0" applyProtection="0">
      <alignment horizontal="left" vertical="top" wrapText="1"/>
    </xf>
    <xf numFmtId="0" fontId="4" fillId="0" borderId="0" applyNumberFormat="0" applyFill="0" applyBorder="0" applyProtection="0">
      <alignment horizontal="left" vertical="top" wrapText="1"/>
    </xf>
    <xf numFmtId="1" fontId="2" fillId="0" borderId="0" applyFont="0" applyFill="0" applyBorder="0" applyProtection="0">
      <alignment horizontal="center" vertical="center"/>
    </xf>
    <xf numFmtId="7" fontId="2" fillId="0" borderId="0" applyFont="0" applyFill="0" applyBorder="0" applyProtection="0">
      <alignment horizontal="right" vertical="center" indent="1"/>
    </xf>
    <xf numFmtId="7" fontId="9" fillId="3" borderId="0" applyBorder="0" applyProtection="0">
      <alignment horizontal="right" vertical="center" indent="1"/>
    </xf>
    <xf numFmtId="10" fontId="9" fillId="3" borderId="0" applyBorder="0" applyProtection="0">
      <alignment horizontal="right" vertical="center" indent="1"/>
    </xf>
    <xf numFmtId="0" fontId="4" fillId="0" borderId="4">
      <alignment vertical="top" wrapText="1"/>
    </xf>
    <xf numFmtId="0" fontId="8" fillId="0" borderId="0">
      <alignment horizontal="left" vertical="center"/>
    </xf>
    <xf numFmtId="0" fontId="4" fillId="0" borderId="0">
      <alignment horizontal="left" vertical="top" wrapText="1"/>
    </xf>
    <xf numFmtId="0" fontId="5" fillId="0" borderId="0" applyNumberFormat="0" applyFill="0" applyBorder="0" applyProtection="0">
      <alignment horizontal="left" vertical="center"/>
    </xf>
    <xf numFmtId="0" fontId="6" fillId="2" borderId="0" applyNumberFormat="0" applyProtection="0">
      <alignment horizontal="left" vertical="center" wrapText="1"/>
    </xf>
    <xf numFmtId="0" fontId="5" fillId="0" borderId="0" applyNumberFormat="0" applyFill="0" applyBorder="0" applyProtection="0">
      <alignment horizontal="left" vertical="top" wrapText="1"/>
    </xf>
    <xf numFmtId="14" fontId="5" fillId="0" borderId="0" applyFont="0" applyFill="0" applyBorder="0">
      <alignment horizontal="left" vertical="top"/>
    </xf>
    <xf numFmtId="0" fontId="5" fillId="0" borderId="0" applyNumberFormat="0" applyFont="0" applyFill="0" applyBorder="0">
      <alignment horizontal="center" vertical="center"/>
    </xf>
    <xf numFmtId="14" fontId="5" fillId="0" borderId="0" applyFont="0" applyFill="0" applyBorder="0">
      <alignment horizontal="left" vertical="center"/>
    </xf>
    <xf numFmtId="0" fontId="5" fillId="0" borderId="1" applyNumberFormat="0" applyFill="0" applyAlignment="0" applyProtection="0">
      <alignment vertical="center"/>
    </xf>
    <xf numFmtId="0" fontId="5" fillId="0" borderId="2" applyNumberFormat="0" applyFont="0" applyFill="0" applyAlignment="0">
      <alignment horizontal="left" vertical="center"/>
    </xf>
    <xf numFmtId="164" fontId="5" fillId="0" borderId="0" applyFont="0" applyFill="0" applyBorder="0" applyAlignment="0" applyProtection="0"/>
    <xf numFmtId="0" fontId="10" fillId="4" borderId="0" applyNumberFormat="0" applyBorder="0" applyAlignment="0" applyProtection="0"/>
    <xf numFmtId="0" fontId="11" fillId="5" borderId="0" applyNumberFormat="0" applyBorder="0" applyAlignment="0" applyProtection="0"/>
    <xf numFmtId="0" fontId="12" fillId="6" borderId="0" applyNumberFormat="0" applyBorder="0" applyAlignment="0" applyProtection="0"/>
    <xf numFmtId="0" fontId="13" fillId="7" borderId="7" applyNumberFormat="0" applyAlignment="0" applyProtection="0"/>
    <xf numFmtId="0" fontId="14" fillId="7" borderId="8" applyNumberFormat="0" applyAlignment="0" applyProtection="0"/>
    <xf numFmtId="0" fontId="15" fillId="0" borderId="9" applyNumberFormat="0" applyFill="0" applyAlignment="0" applyProtection="0"/>
    <xf numFmtId="0" fontId="16" fillId="8" borderId="10" applyNumberFormat="0" applyAlignment="0" applyProtection="0"/>
    <xf numFmtId="0" fontId="17" fillId="0" borderId="0" applyNumberFormat="0" applyFill="0" applyBorder="0" applyAlignment="0" applyProtection="0"/>
    <xf numFmtId="0" fontId="5" fillId="9" borderId="11" applyNumberFormat="0" applyFont="0" applyAlignment="0" applyProtection="0"/>
    <xf numFmtId="0" fontId="18"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8"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8"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8"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8"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8"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cellStyleXfs>
  <cellXfs count="35">
    <xf numFmtId="0" fontId="0" fillId="0" borderId="0" xfId="0">
      <alignment horizontal="left" vertical="center" wrapText="1" indent="1"/>
    </xf>
    <xf numFmtId="0" fontId="0" fillId="0" borderId="0" xfId="0">
      <alignment horizontal="left" vertical="center" wrapText="1" indent="1"/>
    </xf>
    <xf numFmtId="0" fontId="4" fillId="0" borderId="4" xfId="11">
      <alignment vertical="top" wrapText="1"/>
    </xf>
    <xf numFmtId="0" fontId="8" fillId="0" borderId="0" xfId="12">
      <alignment horizontal="left" vertical="center"/>
    </xf>
    <xf numFmtId="0" fontId="4" fillId="0" borderId="0" xfId="13">
      <alignment horizontal="left" vertical="top" wrapText="1"/>
    </xf>
    <xf numFmtId="168" fontId="4" fillId="0" borderId="0" xfId="2" applyFont="1">
      <alignment horizontal="left" vertical="top" wrapText="1"/>
    </xf>
    <xf numFmtId="0" fontId="6" fillId="2" borderId="0" xfId="15">
      <alignment horizontal="left" vertical="center" wrapText="1"/>
    </xf>
    <xf numFmtId="0" fontId="0" fillId="0" borderId="0" xfId="0" applyFont="1" applyFill="1" applyBorder="1" applyAlignment="1">
      <alignment horizontal="left" vertical="center" indent="1"/>
    </xf>
    <xf numFmtId="0" fontId="0" fillId="0" borderId="0" xfId="0" applyFont="1" applyFill="1" applyBorder="1">
      <alignment horizontal="left" vertical="center" wrapText="1" indent="1"/>
    </xf>
    <xf numFmtId="7" fontId="0" fillId="0" borderId="0" xfId="8" applyFont="1">
      <alignment horizontal="right" vertical="center" indent="1"/>
    </xf>
    <xf numFmtId="1" fontId="0" fillId="0" borderId="0" xfId="7" applyFont="1">
      <alignment horizontal="center" vertical="center"/>
    </xf>
    <xf numFmtId="0" fontId="0" fillId="0" borderId="0" xfId="18" applyFont="1" applyFill="1" applyBorder="1">
      <alignment horizontal="center" vertical="center"/>
    </xf>
    <xf numFmtId="14" fontId="4" fillId="0" borderId="2" xfId="17" applyFont="1" applyBorder="1">
      <alignment horizontal="left" vertical="top"/>
    </xf>
    <xf numFmtId="0" fontId="8" fillId="0" borderId="0" xfId="12" applyAlignment="1">
      <alignment vertical="center"/>
    </xf>
    <xf numFmtId="0" fontId="4" fillId="0" borderId="5" xfId="4">
      <alignment horizontal="left" vertical="top" wrapText="1"/>
    </xf>
    <xf numFmtId="14" fontId="7" fillId="0" borderId="3" xfId="17" applyFont="1" applyBorder="1">
      <alignment horizontal="left" vertical="top"/>
    </xf>
    <xf numFmtId="0" fontId="5" fillId="0" borderId="1" xfId="20" applyAlignment="1">
      <alignment horizontal="left" vertical="center" wrapText="1" indent="1"/>
    </xf>
    <xf numFmtId="1" fontId="0" fillId="0" borderId="0" xfId="7" applyFont="1" applyFill="1" applyBorder="1">
      <alignment horizontal="center" vertical="center"/>
    </xf>
    <xf numFmtId="7" fontId="0" fillId="0" borderId="0" xfId="8" applyFont="1" applyFill="1" applyBorder="1">
      <alignment horizontal="right" vertical="center" indent="1"/>
    </xf>
    <xf numFmtId="0" fontId="0" fillId="0" borderId="0" xfId="0" applyNumberFormat="1" applyFont="1" applyFill="1" applyBorder="1" applyAlignment="1">
      <alignment horizontal="center" vertical="center"/>
    </xf>
    <xf numFmtId="0" fontId="0" fillId="0" borderId="2" xfId="21" applyFont="1" applyAlignment="1">
      <alignment horizontal="left" vertical="center" wrapText="1" indent="1"/>
    </xf>
    <xf numFmtId="0" fontId="0" fillId="0" borderId="2" xfId="0" applyFont="1" applyFill="1" applyBorder="1" applyAlignment="1" applyProtection="1">
      <alignment horizontal="left" vertical="center" wrapText="1" indent="1"/>
    </xf>
    <xf numFmtId="14" fontId="6" fillId="2" borderId="0" xfId="19" applyFont="1" applyFill="1">
      <alignment horizontal="left" vertical="center"/>
    </xf>
    <xf numFmtId="10" fontId="9" fillId="3" borderId="2" xfId="10" applyBorder="1">
      <alignment horizontal="right" vertical="center" indent="1"/>
    </xf>
    <xf numFmtId="7" fontId="9" fillId="3" borderId="2" xfId="9" applyBorder="1">
      <alignment horizontal="right" vertical="center" indent="1"/>
    </xf>
    <xf numFmtId="7" fontId="9" fillId="3" borderId="1" xfId="9" applyBorder="1">
      <alignment horizontal="right" vertical="center" indent="1"/>
    </xf>
    <xf numFmtId="168" fontId="4" fillId="0" borderId="4" xfId="2" applyFont="1" applyBorder="1">
      <alignment horizontal="left" vertical="top" wrapText="1"/>
    </xf>
    <xf numFmtId="0" fontId="0" fillId="0" borderId="0" xfId="0">
      <alignment horizontal="left" vertical="center" wrapText="1" indent="1"/>
    </xf>
    <xf numFmtId="0" fontId="7" fillId="0" borderId="0" xfId="3" applyBorder="1">
      <alignment horizontal="left" vertical="center" indent="1"/>
    </xf>
    <xf numFmtId="0" fontId="4" fillId="0" borderId="5" xfId="4">
      <alignment horizontal="left" vertical="top" wrapText="1"/>
    </xf>
    <xf numFmtId="0" fontId="5" fillId="0" borderId="0" xfId="16">
      <alignment horizontal="left" vertical="top" wrapText="1"/>
    </xf>
    <xf numFmtId="0" fontId="4" fillId="0" borderId="4" xfId="11">
      <alignment vertical="top" wrapText="1"/>
    </xf>
    <xf numFmtId="0" fontId="4" fillId="0" borderId="6" xfId="11" applyBorder="1">
      <alignment vertical="top" wrapText="1"/>
    </xf>
    <xf numFmtId="0" fontId="3" fillId="0" borderId="2" xfId="1" applyBorder="1" applyAlignment="1"/>
    <xf numFmtId="7" fontId="5" fillId="0" borderId="0" xfId="0" applyNumberFormat="1" applyFont="1" applyFill="1" applyBorder="1" applyAlignment="1">
      <alignment horizontal="right" vertical="center" indent="1"/>
    </xf>
  </cellXfs>
  <cellStyles count="56">
    <cellStyle name="20% - Énfasis1" xfId="33" builtinId="30" customBuiltin="1"/>
    <cellStyle name="20% - Énfasis2" xfId="37" builtinId="34" customBuiltin="1"/>
    <cellStyle name="20% - Énfasis3" xfId="41" builtinId="38" customBuiltin="1"/>
    <cellStyle name="20% - Énfasis4" xfId="45" builtinId="42" customBuiltin="1"/>
    <cellStyle name="20% - Énfasis5" xfId="49" builtinId="46" customBuiltin="1"/>
    <cellStyle name="20% - Énfasis6" xfId="53" builtinId="50" customBuiltin="1"/>
    <cellStyle name="40% - Énfasis1" xfId="34" builtinId="31" customBuiltin="1"/>
    <cellStyle name="40% - Énfasis2" xfId="38" builtinId="35" customBuiltin="1"/>
    <cellStyle name="40% - Énfasis3" xfId="42" builtinId="39" customBuiltin="1"/>
    <cellStyle name="40% - Énfasis4" xfId="46" builtinId="43" customBuiltin="1"/>
    <cellStyle name="40% - Énfasis5" xfId="50" builtinId="47" customBuiltin="1"/>
    <cellStyle name="40% - Énfasis6" xfId="54" builtinId="51" customBuiltin="1"/>
    <cellStyle name="60% - Énfasis1" xfId="35" builtinId="32" customBuiltin="1"/>
    <cellStyle name="60% - Énfasis2" xfId="39" builtinId="36" customBuiltin="1"/>
    <cellStyle name="60% - Énfasis3" xfId="43" builtinId="40" customBuiltin="1"/>
    <cellStyle name="60% - Énfasis4" xfId="47" builtinId="44" customBuiltin="1"/>
    <cellStyle name="60% - Énfasis5" xfId="51" builtinId="48" customBuiltin="1"/>
    <cellStyle name="60% - Énfasis6" xfId="55" builtinId="52" customBuiltin="1"/>
    <cellStyle name="Borde inferior" xfId="21" xr:uid="{00000000-0005-0000-0000-000000000000}"/>
    <cellStyle name="Bueno" xfId="23" builtinId="26" customBuiltin="1"/>
    <cellStyle name="Cálculo" xfId="27" builtinId="22" customBuiltin="1"/>
    <cellStyle name="Celda de comprobación" xfId="29" builtinId="23" customBuiltin="1"/>
    <cellStyle name="Celda vinculada" xfId="28" builtinId="24" customBuiltin="1"/>
    <cellStyle name="Encabezado 1" xfId="11" builtinId="16" customBuiltin="1"/>
    <cellStyle name="Encabezado 4" xfId="14" builtinId="19" customBuiltin="1"/>
    <cellStyle name="Encabezados de tabla centrados" xfId="18" xr:uid="{00000000-0005-0000-0000-000001000000}"/>
    <cellStyle name="Énfasis1" xfId="32" builtinId="29" customBuiltin="1"/>
    <cellStyle name="Énfasis2" xfId="36" builtinId="33" customBuiltin="1"/>
    <cellStyle name="Énfasis3" xfId="40" builtinId="37" customBuiltin="1"/>
    <cellStyle name="Énfasis4" xfId="44" builtinId="41" customBuiltin="1"/>
    <cellStyle name="Énfasis5" xfId="48" builtinId="45" customBuiltin="1"/>
    <cellStyle name="Énfasis6" xfId="52" builtinId="49" customBuiltin="1"/>
    <cellStyle name="Entrada" xfId="15" builtinId="20" customBuiltin="1"/>
    <cellStyle name="Fecha" xfId="17" xr:uid="{00000000-0005-0000-0000-000005000000}"/>
    <cellStyle name="Fecha de vencimiento" xfId="19" xr:uid="{00000000-0005-0000-0000-000006000000}"/>
    <cellStyle name="Firma" xfId="4" xr:uid="{00000000-0005-0000-0000-000013000000}"/>
    <cellStyle name="Firmar aquí" xfId="3" xr:uid="{00000000-0005-0000-0000-000012000000}"/>
    <cellStyle name="Hipervínculo" xfId="5" builtinId="8" customBuiltin="1"/>
    <cellStyle name="Hipervínculo visitado" xfId="6" builtinId="9" customBuiltin="1"/>
    <cellStyle name="Incorrecto" xfId="24" builtinId="27" customBuiltin="1"/>
    <cellStyle name="Millares" xfId="7" builtinId="3" customBuiltin="1"/>
    <cellStyle name="Millares [0]" xfId="22" builtinId="6" customBuiltin="1"/>
    <cellStyle name="Moneda" xfId="8" builtinId="4" customBuiltin="1"/>
    <cellStyle name="Moneda [0]" xfId="9" builtinId="7" customBuiltin="1"/>
    <cellStyle name="Neutral" xfId="25" builtinId="28" customBuiltin="1"/>
    <cellStyle name="Normal" xfId="0" builtinId="0" customBuiltin="1"/>
    <cellStyle name="Notas" xfId="31" builtinId="10" customBuiltin="1"/>
    <cellStyle name="Porcentaje" xfId="10" builtinId="5" customBuiltin="1"/>
    <cellStyle name="Salida" xfId="26" builtinId="21" customBuiltin="1"/>
    <cellStyle name="Teléfono" xfId="2" xr:uid="{00000000-0005-0000-0000-000011000000}"/>
    <cellStyle name="Texto de advertencia" xfId="30" builtinId="11" customBuiltin="1"/>
    <cellStyle name="Texto explicativo" xfId="16" builtinId="53" customBuiltin="1"/>
    <cellStyle name="Título" xfId="1" builtinId="15" customBuiltin="1"/>
    <cellStyle name="Título 2" xfId="12" builtinId="17" customBuiltin="1"/>
    <cellStyle name="Título 3" xfId="13" builtinId="18" customBuiltin="1"/>
    <cellStyle name="Total" xfId="20" builtinId="25" customBuiltin="1"/>
  </cellStyles>
  <dxfs count="11">
    <dxf>
      <font>
        <b val="0"/>
        <i val="0"/>
        <strike val="0"/>
        <condense val="0"/>
        <extend val="0"/>
        <outline val="0"/>
        <shadow val="0"/>
        <u val="none"/>
        <vertAlign val="baseline"/>
        <sz val="11"/>
        <color theme="3"/>
        <name val="Arial"/>
        <scheme val="minor"/>
      </font>
      <numFmt numFmtId="11" formatCode="#,##0.00\ &quot;€&quot;;\-#,##0.00\ &quot;€&quot;"/>
      <fill>
        <patternFill patternType="none">
          <fgColor indexed="64"/>
          <bgColor indexed="65"/>
        </patternFill>
      </fill>
    </dxf>
    <dxf>
      <font>
        <b val="0"/>
        <i val="0"/>
        <strike val="0"/>
        <condense val="0"/>
        <extend val="0"/>
        <outline val="0"/>
        <shadow val="0"/>
        <u val="none"/>
        <vertAlign val="baseline"/>
        <sz val="11"/>
        <color theme="3"/>
        <name val="Arial"/>
        <scheme val="minor"/>
      </font>
      <fill>
        <patternFill patternType="none">
          <fgColor indexed="64"/>
          <bgColor indexed="65"/>
        </patternFill>
      </fill>
      <border diagonalUp="0" diagonalDown="0" outline="0">
        <left/>
        <right/>
        <top/>
        <bottom/>
      </border>
    </dxf>
    <dxf>
      <font>
        <b/>
        <i val="0"/>
      </font>
      <fill>
        <patternFill patternType="lightUp">
          <fgColor theme="3" tint="0.89996032593768116"/>
        </patternFill>
      </fill>
      <border>
        <bottom style="thin">
          <color theme="3" tint="0.749961851863155"/>
        </bottom>
      </border>
    </dxf>
    <dxf>
      <fill>
        <patternFill patternType="none">
          <bgColor auto="1"/>
        </patternFill>
      </fill>
    </dxf>
    <dxf>
      <font>
        <b/>
        <i val="0"/>
      </font>
      <fill>
        <patternFill patternType="lightUp">
          <fgColor theme="3" tint="0.89996032593768116"/>
        </patternFill>
      </fill>
    </dxf>
    <dxf>
      <font>
        <b/>
        <i val="0"/>
      </font>
    </dxf>
    <dxf>
      <font>
        <b val="0"/>
        <i val="0"/>
      </font>
      <fill>
        <patternFill patternType="solid">
          <fgColor theme="0"/>
        </patternFill>
      </fill>
      <border>
        <left/>
        <right/>
        <bottom/>
        <vertical/>
        <horizontal/>
      </border>
    </dxf>
    <dxf>
      <font>
        <b val="0"/>
        <i val="0"/>
        <color theme="4" tint="-0.24994659260841701"/>
      </font>
      <border>
        <left style="thin">
          <color theme="3" tint="0.749961851863155"/>
        </left>
        <right style="thin">
          <color theme="3" tint="0.749961851863155"/>
        </right>
        <top style="thick">
          <color theme="3" tint="0.749961851863155"/>
        </top>
        <bottom style="thin">
          <color theme="3" tint="0.749961851863155"/>
        </bottom>
      </border>
    </dxf>
    <dxf>
      <border>
        <left style="thin">
          <color theme="3" tint="0.749961851863155"/>
        </left>
        <right style="thin">
          <color theme="3" tint="0.749961851863155"/>
        </right>
        <top style="thin">
          <color theme="3" tint="0.749961851863155"/>
        </top>
        <bottom style="thin">
          <color theme="3" tint="0.749961851863155"/>
        </bottom>
        <horizontal style="thin">
          <color theme="3" tint="0.749961851863155"/>
        </horizontal>
      </border>
    </dxf>
    <dxf>
      <font>
        <b/>
        <i val="0"/>
      </font>
      <fill>
        <patternFill patternType="lightUp">
          <fgColor theme="3" tint="0.89996032593768116"/>
        </patternFill>
      </fill>
      <border>
        <bottom style="thin">
          <color theme="3" tint="0.749961851863155"/>
        </bottom>
      </border>
    </dxf>
    <dxf>
      <fill>
        <patternFill patternType="none">
          <bgColor auto="1"/>
        </patternFill>
      </fill>
    </dxf>
  </dxfs>
  <tableStyles count="1" defaultTableStyle="Propuesta de construcción" defaultPivotStyle="PivotStyleLight7">
    <tableStyle name="Propuesta de construcción" pivot="0" count="7" xr9:uid="{00000000-0011-0000-FFFF-FFFF00000000}">
      <tableStyleElement type="wholeTable" dxfId="8"/>
      <tableStyleElement type="headerRow" dxfId="7"/>
      <tableStyleElement type="totalRow" dxfId="6"/>
      <tableStyleElement type="firstColumn" dxfId="5"/>
      <tableStyleElement type="lastColumn" dxfId="4"/>
      <tableStyleElement type="lastHeaderCell" dxfId="3"/>
      <tableStyleElement type="lastTotalCell"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933450</xdr:colOff>
      <xdr:row>0</xdr:row>
      <xdr:rowOff>475318</xdr:rowOff>
    </xdr:from>
    <xdr:to>
      <xdr:col>1</xdr:col>
      <xdr:colOff>2295526</xdr:colOff>
      <xdr:row>2</xdr:row>
      <xdr:rowOff>41931</xdr:rowOff>
    </xdr:to>
    <xdr:pic>
      <xdr:nvPicPr>
        <xdr:cNvPr id="4" name="Imagen 3">
          <a:extLst>
            <a:ext uri="{FF2B5EF4-FFF2-40B4-BE49-F238E27FC236}">
              <a16:creationId xmlns:a16="http://schemas.microsoft.com/office/drawing/2014/main" id="{4073DEF0-1C68-4D46-A18A-0F545408F2A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33475" y="475318"/>
          <a:ext cx="1362076" cy="681038"/>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ElementosDeLínea" displayName="ElementosDeLínea" ref="D4:G31" totalsRowCount="1">
  <autoFilter ref="D4:G30" xr:uid="{00000000-0009-0000-0100-000002000000}"/>
  <tableColumns count="4">
    <tableColumn id="1" xr3:uid="{00000000-0010-0000-0000-000001000000}" name="CANTIDAD" dataCellStyle="Millares"/>
    <tableColumn id="2" xr3:uid="{00000000-0010-0000-0000-000002000000}" name="DESCRIPCIÓN" totalsRowDxfId="1"/>
    <tableColumn id="3" xr3:uid="{00000000-0010-0000-0000-000003000000}" name="PRECIO POR UNIDAD" totalsRowLabel="SUBTOTAL" dataCellStyle="Moneda"/>
    <tableColumn id="4" xr3:uid="{00000000-0010-0000-0000-000004000000}" name="IMPORTE" totalsRowFunction="sum" totalsRowDxfId="0" dataCellStyle="Moneda">
      <calculatedColumnFormula>IFERROR(ElementosDeLínea[[#This Row],[CANTIDAD]]*ElementosDeLínea[[#This Row],[PRECIO POR UNIDAD]], "")</calculatedColumnFormula>
    </tableColumn>
  </tableColumns>
  <tableStyleInfo name="Propuesta de construcción" showFirstColumn="1" showLastColumn="1" showRowStripes="1" showColumnStripes="0"/>
  <extLst>
    <ext xmlns:x14="http://schemas.microsoft.com/office/spreadsheetml/2009/9/main" uri="{504A1905-F514-4f6f-8877-14C23A59335A}">
      <x14:table altTextSummary="Escriba la cantidad, la descripción y el precio por unidad en esta tabla. El importe se calcula automáticamente."/>
    </ext>
  </extLst>
</table>
</file>

<file path=xl/theme/theme1.xml><?xml version="1.0" encoding="utf-8"?>
<a:theme xmlns:a="http://schemas.openxmlformats.org/drawingml/2006/main" name="Office Theme">
  <a:themeElements>
    <a:clrScheme name="Construction Proposal">
      <a:dk1>
        <a:sysClr val="windowText" lastClr="000000"/>
      </a:dk1>
      <a:lt1>
        <a:sysClr val="window" lastClr="FFFFFF"/>
      </a:lt1>
      <a:dk2>
        <a:srgbClr val="3F3122"/>
      </a:dk2>
      <a:lt2>
        <a:srgbClr val="F1F6F8"/>
      </a:lt2>
      <a:accent1>
        <a:srgbClr val="E54A41"/>
      </a:accent1>
      <a:accent2>
        <a:srgbClr val="4F8BA6"/>
      </a:accent2>
      <a:accent3>
        <a:srgbClr val="FC9F23"/>
      </a:accent3>
      <a:accent4>
        <a:srgbClr val="5E8C42"/>
      </a:accent4>
      <a:accent5>
        <a:srgbClr val="F9C73D"/>
      </a:accent5>
      <a:accent6>
        <a:srgbClr val="83406A"/>
      </a:accent6>
      <a:hlink>
        <a:srgbClr val="4F8BA6"/>
      </a:hlink>
      <a:folHlink>
        <a:srgbClr val="83406A"/>
      </a:folHlink>
    </a:clrScheme>
    <a:fontScheme name="199">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4"/>
    <pageSetUpPr autoPageBreaks="0" fitToPage="1"/>
  </sheetPr>
  <dimension ref="A1:G39"/>
  <sheetViews>
    <sheetView showGridLines="0" tabSelected="1" zoomScaleNormal="100" workbookViewId="0"/>
  </sheetViews>
  <sheetFormatPr baseColWidth="10" defaultColWidth="9" defaultRowHeight="30" customHeight="1" x14ac:dyDescent="0.2"/>
  <cols>
    <col min="1" max="1" width="2.625" style="1" customWidth="1"/>
    <col min="2" max="2" width="46" customWidth="1"/>
    <col min="3" max="3" width="2.625" customWidth="1"/>
    <col min="4" max="4" width="22.625" customWidth="1"/>
    <col min="5" max="5" width="54.875" customWidth="1"/>
    <col min="6" max="6" width="31.5" customWidth="1"/>
    <col min="7" max="7" width="15.375" customWidth="1"/>
    <col min="8" max="8" width="2.625" customWidth="1"/>
  </cols>
  <sheetData>
    <row r="1" spans="2:7" ht="57.75" customHeight="1" x14ac:dyDescent="0.4">
      <c r="B1" s="27"/>
      <c r="D1" s="33" t="s">
        <v>24</v>
      </c>
      <c r="E1" s="33"/>
      <c r="F1" s="33"/>
      <c r="G1" s="33"/>
    </row>
    <row r="2" spans="2:7" ht="30" customHeight="1" x14ac:dyDescent="0.2">
      <c r="B2" s="27"/>
      <c r="D2" s="2" t="s">
        <v>25</v>
      </c>
      <c r="E2" s="32" t="s">
        <v>32</v>
      </c>
      <c r="F2" s="32"/>
      <c r="G2" s="32"/>
    </row>
    <row r="3" spans="2:7" ht="46.5" customHeight="1" x14ac:dyDescent="0.2">
      <c r="B3" s="27"/>
      <c r="D3" s="26" t="s">
        <v>26</v>
      </c>
      <c r="E3" s="31" t="s">
        <v>33</v>
      </c>
      <c r="F3" s="31"/>
      <c r="G3" s="31"/>
    </row>
    <row r="4" spans="2:7" ht="30" customHeight="1" x14ac:dyDescent="0.2">
      <c r="B4" s="27"/>
      <c r="D4" s="11" t="s">
        <v>27</v>
      </c>
      <c r="E4" s="7" t="s">
        <v>34</v>
      </c>
      <c r="F4" s="11" t="s">
        <v>42</v>
      </c>
      <c r="G4" s="11" t="s">
        <v>48</v>
      </c>
    </row>
    <row r="5" spans="2:7" ht="30" customHeight="1" x14ac:dyDescent="0.2">
      <c r="B5" s="3" t="s">
        <v>0</v>
      </c>
      <c r="D5" s="10">
        <v>10</v>
      </c>
      <c r="E5" s="8" t="s">
        <v>35</v>
      </c>
      <c r="F5" s="9">
        <v>165</v>
      </c>
      <c r="G5" s="9">
        <f>IFERROR(ElementosDeLínea[[#This Row],[CANTIDAD]]*ElementosDeLínea[[#This Row],[PRECIO POR UNIDAD]], "")</f>
        <v>1650</v>
      </c>
    </row>
    <row r="6" spans="2:7" ht="30" customHeight="1" x14ac:dyDescent="0.2">
      <c r="B6" s="4" t="s">
        <v>1</v>
      </c>
      <c r="D6" s="10">
        <v>21</v>
      </c>
      <c r="E6" s="8" t="s">
        <v>36</v>
      </c>
      <c r="F6" s="9">
        <v>40</v>
      </c>
      <c r="G6" s="9">
        <f>IFERROR(ElementosDeLínea[[#This Row],[CANTIDAD]]*ElementosDeLínea[[#This Row],[PRECIO POR UNIDAD]], "")</f>
        <v>840</v>
      </c>
    </row>
    <row r="7" spans="2:7" ht="30" customHeight="1" x14ac:dyDescent="0.2">
      <c r="B7" s="3" t="s">
        <v>2</v>
      </c>
      <c r="D7" s="10">
        <v>5</v>
      </c>
      <c r="E7" s="8" t="s">
        <v>37</v>
      </c>
      <c r="F7" s="9">
        <v>10.5</v>
      </c>
      <c r="G7" s="9">
        <f>IFERROR(ElementosDeLínea[[#This Row],[CANTIDAD]]*ElementosDeLínea[[#This Row],[PRECIO POR UNIDAD]], "")</f>
        <v>52.5</v>
      </c>
    </row>
    <row r="8" spans="2:7" ht="30" customHeight="1" x14ac:dyDescent="0.2">
      <c r="B8" s="4" t="s">
        <v>3</v>
      </c>
      <c r="D8" s="10">
        <v>164</v>
      </c>
      <c r="E8" s="8" t="s">
        <v>38</v>
      </c>
      <c r="F8" s="9">
        <v>2.75</v>
      </c>
      <c r="G8" s="9">
        <f>IFERROR(ElementosDeLínea[[#This Row],[CANTIDAD]]*ElementosDeLínea[[#This Row],[PRECIO POR UNIDAD]], "")</f>
        <v>451</v>
      </c>
    </row>
    <row r="9" spans="2:7" ht="30" customHeight="1" x14ac:dyDescent="0.2">
      <c r="B9" s="3" t="s">
        <v>4</v>
      </c>
      <c r="D9" s="10">
        <v>6</v>
      </c>
      <c r="E9" s="8" t="s">
        <v>39</v>
      </c>
      <c r="F9" s="9">
        <v>12</v>
      </c>
      <c r="G9" s="9">
        <f>IFERROR(ElementosDeLínea[[#This Row],[CANTIDAD]]*ElementosDeLínea[[#This Row],[PRECIO POR UNIDAD]], "")</f>
        <v>72</v>
      </c>
    </row>
    <row r="10" spans="2:7" ht="30" customHeight="1" x14ac:dyDescent="0.2">
      <c r="B10" s="12">
        <f ca="1">TODAY()</f>
        <v>43423</v>
      </c>
      <c r="D10" s="10">
        <v>18</v>
      </c>
      <c r="E10" s="8" t="s">
        <v>40</v>
      </c>
      <c r="F10" s="9">
        <v>5.5</v>
      </c>
      <c r="G10" s="9">
        <f>IFERROR(ElementosDeLínea[[#This Row],[CANTIDAD]]*ElementosDeLínea[[#This Row],[PRECIO POR UNIDAD]], "")</f>
        <v>99</v>
      </c>
    </row>
    <row r="11" spans="2:7" ht="30" customHeight="1" x14ac:dyDescent="0.2">
      <c r="B11" s="3" t="s">
        <v>5</v>
      </c>
      <c r="D11" s="10">
        <v>1</v>
      </c>
      <c r="E11" s="8" t="s">
        <v>41</v>
      </c>
      <c r="F11" s="9">
        <v>25</v>
      </c>
      <c r="G11" s="9">
        <f>IFERROR(ElementosDeLínea[[#This Row],[CANTIDAD]]*ElementosDeLínea[[#This Row],[PRECIO POR UNIDAD]], "")</f>
        <v>25</v>
      </c>
    </row>
    <row r="12" spans="2:7" ht="30" customHeight="1" x14ac:dyDescent="0.2">
      <c r="B12" s="4" t="s">
        <v>6</v>
      </c>
      <c r="D12" s="17"/>
      <c r="E12" s="8"/>
      <c r="F12" s="18"/>
      <c r="G12" s="9">
        <f>IFERROR(ElementosDeLínea[[#This Row],[CANTIDAD]]*ElementosDeLínea[[#This Row],[PRECIO POR UNIDAD]], "")</f>
        <v>0</v>
      </c>
    </row>
    <row r="13" spans="2:7" ht="30" customHeight="1" x14ac:dyDescent="0.2">
      <c r="B13" s="3" t="s">
        <v>7</v>
      </c>
      <c r="D13" s="17"/>
      <c r="E13" s="8"/>
      <c r="F13" s="18"/>
      <c r="G13" s="9">
        <f>IFERROR(ElementosDeLínea[[#This Row],[CANTIDAD]]*ElementosDeLínea[[#This Row],[PRECIO POR UNIDAD]], "")</f>
        <v>0</v>
      </c>
    </row>
    <row r="14" spans="2:7" ht="30" customHeight="1" x14ac:dyDescent="0.2">
      <c r="B14" s="4" t="s">
        <v>8</v>
      </c>
      <c r="D14" s="17"/>
      <c r="E14" s="8"/>
      <c r="F14" s="18"/>
      <c r="G14" s="9">
        <f>IFERROR(ElementosDeLínea[[#This Row],[CANTIDAD]]*ElementosDeLínea[[#This Row],[PRECIO POR UNIDAD]], "")</f>
        <v>0</v>
      </c>
    </row>
    <row r="15" spans="2:7" ht="30" customHeight="1" x14ac:dyDescent="0.2">
      <c r="B15" s="3" t="s">
        <v>9</v>
      </c>
      <c r="D15" s="17"/>
      <c r="E15" s="8"/>
      <c r="F15" s="18"/>
      <c r="G15" s="9">
        <f>IFERROR(ElementosDeLínea[[#This Row],[CANTIDAD]]*ElementosDeLínea[[#This Row],[PRECIO POR UNIDAD]], "")</f>
        <v>0</v>
      </c>
    </row>
    <row r="16" spans="2:7" ht="30" customHeight="1" x14ac:dyDescent="0.2">
      <c r="B16" s="5" t="s">
        <v>10</v>
      </c>
      <c r="D16" s="17"/>
      <c r="E16" s="8"/>
      <c r="F16" s="18"/>
      <c r="G16" s="9">
        <f>IFERROR(ElementosDeLínea[[#This Row],[CANTIDAD]]*ElementosDeLínea[[#This Row],[PRECIO POR UNIDAD]], "")</f>
        <v>0</v>
      </c>
    </row>
    <row r="17" spans="2:7" ht="30" customHeight="1" x14ac:dyDescent="0.2">
      <c r="B17" s="3" t="s">
        <v>11</v>
      </c>
      <c r="D17" s="17"/>
      <c r="E17" s="8"/>
      <c r="F17" s="18"/>
      <c r="G17" s="9">
        <f>IFERROR(ElementosDeLínea[[#This Row],[CANTIDAD]]*ElementosDeLínea[[#This Row],[PRECIO POR UNIDAD]], "")</f>
        <v>0</v>
      </c>
    </row>
    <row r="18" spans="2:7" ht="30" customHeight="1" x14ac:dyDescent="0.2">
      <c r="B18" s="4" t="s">
        <v>12</v>
      </c>
      <c r="D18" s="17"/>
      <c r="E18" s="8"/>
      <c r="F18" s="18"/>
      <c r="G18" s="9">
        <f>IFERROR(ElementosDeLínea[[#This Row],[CANTIDAD]]*ElementosDeLínea[[#This Row],[PRECIO POR UNIDAD]], "")</f>
        <v>0</v>
      </c>
    </row>
    <row r="19" spans="2:7" ht="30" customHeight="1" x14ac:dyDescent="0.2">
      <c r="B19" s="3" t="s">
        <v>13</v>
      </c>
      <c r="D19" s="17"/>
      <c r="E19" s="8"/>
      <c r="F19" s="18"/>
      <c r="G19" s="9">
        <f>IFERROR(ElementosDeLínea[[#This Row],[CANTIDAD]]*ElementosDeLínea[[#This Row],[PRECIO POR UNIDAD]], "")</f>
        <v>0</v>
      </c>
    </row>
    <row r="20" spans="2:7" ht="30" customHeight="1" x14ac:dyDescent="0.2">
      <c r="B20" s="4" t="s">
        <v>14</v>
      </c>
      <c r="D20" s="17"/>
      <c r="E20" s="8"/>
      <c r="F20" s="18"/>
      <c r="G20" s="9">
        <f>IFERROR(ElementosDeLínea[[#This Row],[CANTIDAD]]*ElementosDeLínea[[#This Row],[PRECIO POR UNIDAD]], "")</f>
        <v>0</v>
      </c>
    </row>
    <row r="21" spans="2:7" ht="30" customHeight="1" x14ac:dyDescent="0.2">
      <c r="B21" s="3" t="s">
        <v>15</v>
      </c>
      <c r="D21" s="17"/>
      <c r="E21" s="8"/>
      <c r="F21" s="18"/>
      <c r="G21" s="9">
        <f>IFERROR(ElementosDeLínea[[#This Row],[CANTIDAD]]*ElementosDeLínea[[#This Row],[PRECIO POR UNIDAD]], "")</f>
        <v>0</v>
      </c>
    </row>
    <row r="22" spans="2:7" ht="30" customHeight="1" x14ac:dyDescent="0.2">
      <c r="B22" s="4" t="s">
        <v>16</v>
      </c>
      <c r="D22" s="17"/>
      <c r="E22" s="8"/>
      <c r="F22" s="18"/>
      <c r="G22" s="9">
        <f>IFERROR(ElementosDeLínea[[#This Row],[CANTIDAD]]*ElementosDeLínea[[#This Row],[PRECIO POR UNIDAD]], "")</f>
        <v>0</v>
      </c>
    </row>
    <row r="23" spans="2:7" ht="30" customHeight="1" x14ac:dyDescent="0.2">
      <c r="B23" s="3" t="s">
        <v>17</v>
      </c>
      <c r="D23" s="17"/>
      <c r="E23" s="8"/>
      <c r="F23" s="18"/>
      <c r="G23" s="9">
        <f>IFERROR(ElementosDeLínea[[#This Row],[CANTIDAD]]*ElementosDeLínea[[#This Row],[PRECIO POR UNIDAD]], "")</f>
        <v>0</v>
      </c>
    </row>
    <row r="24" spans="2:7" ht="30" customHeight="1" x14ac:dyDescent="0.2">
      <c r="B24" s="4" t="s">
        <v>18</v>
      </c>
      <c r="D24" s="17"/>
      <c r="E24" s="8"/>
      <c r="F24" s="18"/>
      <c r="G24" s="9">
        <f>IFERROR(ElementosDeLínea[[#This Row],[CANTIDAD]]*ElementosDeLínea[[#This Row],[PRECIO POR UNIDAD]], "")</f>
        <v>0</v>
      </c>
    </row>
    <row r="25" spans="2:7" ht="30" customHeight="1" x14ac:dyDescent="0.2">
      <c r="B25" s="3" t="s">
        <v>19</v>
      </c>
      <c r="D25" s="17"/>
      <c r="E25" s="8"/>
      <c r="F25" s="18"/>
      <c r="G25" s="9">
        <f>IFERROR(ElementosDeLínea[[#This Row],[CANTIDAD]]*ElementosDeLínea[[#This Row],[PRECIO POR UNIDAD]], "")</f>
        <v>0</v>
      </c>
    </row>
    <row r="26" spans="2:7" ht="30" customHeight="1" x14ac:dyDescent="0.2">
      <c r="B26" s="6" t="s">
        <v>20</v>
      </c>
      <c r="D26" s="17"/>
      <c r="E26" s="8"/>
      <c r="F26" s="18"/>
      <c r="G26" s="9">
        <f>IFERROR(ElementosDeLínea[[#This Row],[CANTIDAD]]*ElementosDeLínea[[#This Row],[PRECIO POR UNIDAD]], "")</f>
        <v>0</v>
      </c>
    </row>
    <row r="27" spans="2:7" ht="30" customHeight="1" x14ac:dyDescent="0.2">
      <c r="B27" s="3" t="s">
        <v>21</v>
      </c>
      <c r="D27" s="17"/>
      <c r="E27" s="8"/>
      <c r="F27" s="18"/>
      <c r="G27" s="9">
        <f>IFERROR(ElementosDeLínea[[#This Row],[CANTIDAD]]*ElementosDeLínea[[#This Row],[PRECIO POR UNIDAD]], "")</f>
        <v>0</v>
      </c>
    </row>
    <row r="28" spans="2:7" ht="30" customHeight="1" x14ac:dyDescent="0.2">
      <c r="B28" s="6" t="s">
        <v>22</v>
      </c>
      <c r="D28" s="17"/>
      <c r="E28" s="8"/>
      <c r="F28" s="18"/>
      <c r="G28" s="9">
        <f>IFERROR(ElementosDeLínea[[#This Row],[CANTIDAD]]*ElementosDeLínea[[#This Row],[PRECIO POR UNIDAD]], "")</f>
        <v>0</v>
      </c>
    </row>
    <row r="29" spans="2:7" ht="30" customHeight="1" x14ac:dyDescent="0.2">
      <c r="B29" s="3" t="s">
        <v>23</v>
      </c>
      <c r="D29" s="17"/>
      <c r="E29" s="8"/>
      <c r="F29" s="18"/>
      <c r="G29" s="9">
        <f>IFERROR(ElementosDeLínea[[#This Row],[CANTIDAD]]*ElementosDeLínea[[#This Row],[PRECIO POR UNIDAD]], "")</f>
        <v>0</v>
      </c>
    </row>
    <row r="30" spans="2:7" ht="30" customHeight="1" x14ac:dyDescent="0.2">
      <c r="B30" s="22">
        <f ca="1">TODAY()+30</f>
        <v>43453</v>
      </c>
      <c r="D30" s="17"/>
      <c r="E30" s="8"/>
      <c r="F30" s="18"/>
      <c r="G30" s="9">
        <f>IFERROR(ElementosDeLínea[[#This Row],[CANTIDAD]]*ElementosDeLínea[[#This Row],[PRECIO POR UNIDAD]], "")</f>
        <v>0</v>
      </c>
    </row>
    <row r="31" spans="2:7" ht="30" customHeight="1" x14ac:dyDescent="0.2">
      <c r="D31" s="19"/>
      <c r="E31" s="8"/>
      <c r="F31" s="21" t="s">
        <v>43</v>
      </c>
      <c r="G31" s="34">
        <f>SUBTOTAL(109,ElementosDeLínea[IMPORTE])</f>
        <v>3189.5</v>
      </c>
    </row>
    <row r="32" spans="2:7" ht="30" customHeight="1" x14ac:dyDescent="0.2">
      <c r="D32" s="13" t="s">
        <v>28</v>
      </c>
      <c r="E32" s="13"/>
      <c r="F32" s="20" t="s">
        <v>44</v>
      </c>
      <c r="G32" s="23">
        <v>7.7499999999999999E-2</v>
      </c>
    </row>
    <row r="33" spans="4:7" ht="30" customHeight="1" x14ac:dyDescent="0.2">
      <c r="D33" s="30" t="s">
        <v>29</v>
      </c>
      <c r="E33" s="30"/>
      <c r="F33" s="20" t="s">
        <v>45</v>
      </c>
      <c r="G33" s="24">
        <f>IFERROR(Subtotal*TipoImpositivo, "")</f>
        <v>247.18625</v>
      </c>
    </row>
    <row r="34" spans="4:7" ht="30" customHeight="1" x14ac:dyDescent="0.2">
      <c r="D34" s="30"/>
      <c r="E34" s="30"/>
      <c r="F34" s="20" t="s">
        <v>46</v>
      </c>
      <c r="G34" s="24"/>
    </row>
    <row r="35" spans="4:7" ht="30" customHeight="1" thickBot="1" x14ac:dyDescent="0.25">
      <c r="D35" s="30"/>
      <c r="E35" s="30"/>
      <c r="F35" s="16" t="s">
        <v>47</v>
      </c>
      <c r="G35" s="25">
        <f>IFERROR(Subtotal+G33+Otros, "")</f>
        <v>3436.6862500000002</v>
      </c>
    </row>
    <row r="36" spans="4:7" ht="30" customHeight="1" thickTop="1" x14ac:dyDescent="0.2">
      <c r="D36" s="30"/>
      <c r="E36" s="30"/>
    </row>
    <row r="37" spans="4:7" ht="30" customHeight="1" x14ac:dyDescent="0.2">
      <c r="D37" s="28" t="s">
        <v>30</v>
      </c>
      <c r="E37" s="28"/>
      <c r="F37" s="28"/>
      <c r="G37" s="28"/>
    </row>
    <row r="38" spans="4:7" ht="30" customHeight="1" x14ac:dyDescent="0.2">
      <c r="D38" s="27"/>
      <c r="E38" s="27"/>
      <c r="F38" s="27"/>
      <c r="G38" s="15"/>
    </row>
    <row r="39" spans="4:7" ht="30" customHeight="1" x14ac:dyDescent="0.2">
      <c r="D39" s="29" t="s">
        <v>31</v>
      </c>
      <c r="E39" s="29"/>
      <c r="F39" s="29"/>
      <c r="G39" s="14" t="s">
        <v>49</v>
      </c>
    </row>
  </sheetData>
  <mergeCells count="8">
    <mergeCell ref="B1:B4"/>
    <mergeCell ref="D37:G37"/>
    <mergeCell ref="D38:F38"/>
    <mergeCell ref="D39:F39"/>
    <mergeCell ref="D33:E36"/>
    <mergeCell ref="E3:G3"/>
    <mergeCell ref="E2:G2"/>
    <mergeCell ref="D1:G1"/>
  </mergeCells>
  <dataValidations count="40">
    <dataValidation allowBlank="1" showInputMessage="1" showErrorMessage="1" prompt="Cree una propuesta de construcción en esta hoja. Escriba los detalles de la construcción en la tabla Elementos de línea que comienza en la celda D4. Agregue el logotipo de la empresa en la celda B1. El total a pagar se calcula automáticamente." sqref="A1" xr:uid="{00000000-0002-0000-0000-000000000000}"/>
    <dataValidation allowBlank="1" showInputMessage="1" showErrorMessage="1" prompt="El título de esta hoja de cálculo se encuentra en esta celda. Escriba la dirección y el nombre de la empresa en las celdas inferiores." sqref="D1" xr:uid="{00000000-0002-0000-0000-000001000000}"/>
    <dataValidation allowBlank="1" showInputMessage="1" showErrorMessage="1" prompt="Escriba el nombre del cliente en la celda inferior." sqref="B5" xr:uid="{00000000-0002-0000-0000-000002000000}"/>
    <dataValidation allowBlank="1" showInputMessage="1" showErrorMessage="1" prompt="Escriba el número de presupuesto en la celda inferior." sqref="B7" xr:uid="{00000000-0002-0000-0000-000003000000}"/>
    <dataValidation allowBlank="1" showInputMessage="1" showErrorMessage="1" prompt="Escriba el número de presupuesto en esta celda." sqref="B8" xr:uid="{00000000-0002-0000-0000-000004000000}"/>
    <dataValidation allowBlank="1" showInputMessage="1" showErrorMessage="1" prompt="Escriba la fecha en la celda inferior." sqref="B9" xr:uid="{00000000-0002-0000-0000-000005000000}"/>
    <dataValidation allowBlank="1" showInputMessage="1" showErrorMessage="1" prompt="Escriba la fecha en esta celda." sqref="B10" xr:uid="{00000000-0002-0000-0000-000006000000}"/>
    <dataValidation allowBlank="1" showInputMessage="1" showErrorMessage="1" prompt="Escriba la dirección del cliente en la celda inferior." sqref="B11" xr:uid="{00000000-0002-0000-0000-000007000000}"/>
    <dataValidation allowBlank="1" showInputMessage="1" showErrorMessage="1" prompt="Escriba la ciudad, la provincia o el estado y el código postal del cliente en la celda inferior." sqref="B13" xr:uid="{00000000-0002-0000-0000-000008000000}"/>
    <dataValidation allowBlank="1" showInputMessage="1" showErrorMessage="1" prompt="Escriba el número de teléfono del cliente en la celda inferior." sqref="B15" xr:uid="{00000000-0002-0000-0000-000009000000}"/>
    <dataValidation allowBlank="1" showInputMessage="1" showErrorMessage="1" prompt="Escriba la dirección de correo electrónico del cliente en la celda inferior." sqref="B17" xr:uid="{00000000-0002-0000-0000-00000A000000}"/>
    <dataValidation allowBlank="1" showInputMessage="1" showErrorMessage="1" prompt="Escriba el nombre del vendedor en la celda inferior." sqref="B19" xr:uid="{00000000-0002-0000-0000-00000B000000}"/>
    <dataValidation allowBlank="1" showInputMessage="1" showErrorMessage="1" prompt="Escriba el nombre del proyecto en la celda inferior." sqref="B21" xr:uid="{00000000-0002-0000-0000-00000C000000}"/>
    <dataValidation allowBlank="1" showInputMessage="1" showErrorMessage="1" prompt="Escriba el nombre de la persona que lo ha preparado en la celda inferior." sqref="B23" xr:uid="{00000000-0002-0000-0000-00000D000000}"/>
    <dataValidation allowBlank="1" showInputMessage="1" showErrorMessage="1" prompt="Escriba el nombre de la persona a la que debe ir dirigida la propuesta en la celda inferior." sqref="B25" xr:uid="{00000000-0002-0000-0000-00000E000000}"/>
    <dataValidation allowBlank="1" showInputMessage="1" showErrorMessage="1" prompt="Escriba el nombre de la persona a la que debe ir dirigida la propuesta en esta celda." sqref="B26" xr:uid="{00000000-0002-0000-0000-00000F000000}"/>
    <dataValidation allowBlank="1" showInputMessage="1" showErrorMessage="1" prompt="Escriba las condiciones de pago en la celda inferior." sqref="B27" xr:uid="{00000000-0002-0000-0000-000010000000}"/>
    <dataValidation allowBlank="1" showInputMessage="1" showErrorMessage="1" prompt="Escriba las condiciones de pago en esta celda." sqref="B28" xr:uid="{00000000-0002-0000-0000-000011000000}"/>
    <dataValidation allowBlank="1" showInputMessage="1" showErrorMessage="1" prompt="Escriba la fecha de vencimiento en la celda inferior." sqref="B29" xr:uid="{00000000-0002-0000-0000-000012000000}"/>
    <dataValidation allowBlank="1" showInputMessage="1" showErrorMessage="1" prompt="Escriba la fecha de vencimiento en esta celda." sqref="B30" xr:uid="{00000000-0002-0000-0000-000013000000}"/>
    <dataValidation allowBlank="1" showInputMessage="1" showErrorMessage="1" prompt="Escriba la cantidad en esta columna, debajo de este encabezado. Use los filtros de encabezado para buscar entradas específicas." sqref="D4" xr:uid="{00000000-0002-0000-0000-000014000000}"/>
    <dataValidation allowBlank="1" showInputMessage="1" showErrorMessage="1" prompt="Escriba la descripción en esta columna, debajo de este encabezado." sqref="E4" xr:uid="{00000000-0002-0000-0000-000015000000}"/>
    <dataValidation allowBlank="1" showInputMessage="1" showErrorMessage="1" prompt="Escriba el precio por unidad en esta columna, debajo de este encabezado." sqref="F4" xr:uid="{00000000-0002-0000-0000-000016000000}"/>
    <dataValidation allowBlank="1" showInputMessage="1" showErrorMessage="1" prompt="El importe se calcula automáticamente en esta columna, debajo de este encabezado. El subtotal se calcula automáticamente al final." sqref="G4" xr:uid="{00000000-0002-0000-0000-000017000000}"/>
    <dataValidation allowBlank="1" showInputMessage="1" showErrorMessage="1" prompt="Escriba las condiciones de la propuesta en la celda inferior." sqref="D32" xr:uid="{00000000-0002-0000-0000-000018000000}"/>
    <dataValidation allowBlank="1" showInputMessage="1" showErrorMessage="1" prompt="Escriba el tipo impositivo en la celda de la derecha." sqref="F32" xr:uid="{00000000-0002-0000-0000-000019000000}"/>
    <dataValidation allowBlank="1" showInputMessage="1" showErrorMessage="1" prompt="Escriba el tipo impositivo en esta celda." sqref="G32" xr:uid="{00000000-0002-0000-0000-00001A000000}"/>
    <dataValidation allowBlank="1" showInputMessage="1" showErrorMessage="1" prompt="El importe del impuesto sobre las ventas se calcula automáticamente en la celda de la derecha." sqref="F33" xr:uid="{00000000-0002-0000-0000-00001B000000}"/>
    <dataValidation allowBlank="1" showInputMessage="1" showErrorMessage="1" prompt="El importe del impuesto sobre las ventas se calcula automáticamente en esta celda." sqref="G33" xr:uid="{00000000-0002-0000-0000-00001C000000}"/>
    <dataValidation allowBlank="1" showInputMessage="1" showErrorMessage="1" prompt="Escriba otro importe en la celda de la derecha." sqref="F34" xr:uid="{00000000-0002-0000-0000-00001D000000}"/>
    <dataValidation allowBlank="1" showInputMessage="1" showErrorMessage="1" prompt="Escriba otro importe en esta celda." sqref="G34" xr:uid="{00000000-0002-0000-0000-00001E000000}"/>
    <dataValidation allowBlank="1" showInputMessage="1" showErrorMessage="1" prompt="El total a pagar se calcula automáticamente en la celda de la derecha." sqref="F35" xr:uid="{00000000-0002-0000-0000-00001F000000}"/>
    <dataValidation allowBlank="1" showInputMessage="1" showErrorMessage="1" prompt="El total a pagar se calcula automáticamente en esta celda." sqref="G35" xr:uid="{00000000-0002-0000-0000-000020000000}"/>
    <dataValidation allowBlank="1" showInputMessage="1" showErrorMessage="1" prompt="Escriba la fecha de firma en esta celda." sqref="G38" xr:uid="{00000000-0002-0000-0000-000021000000}"/>
    <dataValidation allowBlank="1" showInputMessage="1" showErrorMessage="1" prompt="Escriba las condiciones de la propuesta en esta celda." sqref="D33" xr:uid="{00000000-0002-0000-0000-000022000000}"/>
    <dataValidation allowBlank="1" showInputMessage="1" showErrorMessage="1" prompt="Escriba la firma del representante autorizado a continuación." sqref="D37:G37" xr:uid="{00000000-0002-0000-0000-000023000000}"/>
    <dataValidation allowBlank="1" showInputMessage="1" showErrorMessage="1" prompt="Escriba aquí la firma del representante autorizado y la fecha de firma en la celda de la derecha." sqref="D38:F38" xr:uid="{00000000-0002-0000-0000-000024000000}"/>
    <dataValidation allowBlank="1" showInputMessage="1" showErrorMessage="1" prompt="Agregue el logotipo de la empresa en esta celda y la información del cliente en las celdas siguientes." sqref="B1:B4" xr:uid="{00000000-0002-0000-0000-000025000000}"/>
    <dataValidation allowBlank="1" showInputMessage="1" showErrorMessage="1" prompt="Escriba el nombre de la empresa en esta celda." sqref="D2" xr:uid="{00000000-0002-0000-0000-000026000000}"/>
    <dataValidation allowBlank="1" showInputMessage="1" showErrorMessage="1" prompt="Escriba el número de teléfono de la empresa en esta celda." sqref="D3" xr:uid="{00000000-0002-0000-0000-000027000000}"/>
  </dataValidations>
  <printOptions horizontalCentered="1"/>
  <pageMargins left="0.25" right="0.25" top="0.25" bottom="0.25" header="0" footer="0.25"/>
  <pageSetup paperSize="9" fitToHeight="0" orientation="portrait" r:id="rId1"/>
  <headerFooter differentFirst="1">
    <oddFooter>Page &amp;P of &amp;N</oddFooter>
  </headerFooter>
  <ignoredErrors>
    <ignoredError sqref="G12:G30" emptyCellReference="1"/>
  </ignoredErrors>
  <drawing r:id="rId2"/>
  <tableParts count="1">
    <tablePart r:id="rId3"/>
  </tableParts>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Hojas de cálculo</vt:lpstr>
      </vt:variant>
      <vt:variant>
        <vt:i4>1</vt:i4>
      </vt:variant>
      <vt:variant>
        <vt:lpstr>Rangos con nombre</vt:lpstr>
      </vt:variant>
      <vt:variant>
        <vt:i4>20</vt:i4>
      </vt:variant>
    </vt:vector>
  </HeadingPairs>
  <TitlesOfParts>
    <vt:vector size="21" baseType="lpstr">
      <vt:lpstr>Propuesta</vt:lpstr>
      <vt:lpstr>Otros</vt:lpstr>
      <vt:lpstr>RegiónDeTítuloDeColumna1..B6.1</vt:lpstr>
      <vt:lpstr>RegiónDeTítuloDeColumna10..B24.1</vt:lpstr>
      <vt:lpstr>RegiónDeTítuloDeColumna11..B26.1</vt:lpstr>
      <vt:lpstr>RegiónDeTítuloDeColumna12..B28.1</vt:lpstr>
      <vt:lpstr>RegiónDeTítuloDeColumna13..B30.1</vt:lpstr>
      <vt:lpstr>RegiónDeTítuloDeColumna14..D33</vt:lpstr>
      <vt:lpstr>RegiónDeTítuloDeColumna2..B8.1</vt:lpstr>
      <vt:lpstr>RegiónDeTítuloDeColumna3..B10.1</vt:lpstr>
      <vt:lpstr>RegiónDeTítuloDeColumna4..B12.1</vt:lpstr>
      <vt:lpstr>RegiónDeTítuloDeColumna5..B14.1</vt:lpstr>
      <vt:lpstr>RegiónDeTítuloDeColumna6..B16.1</vt:lpstr>
      <vt:lpstr>RegiónDeTítuloDeColumna7..B18.1</vt:lpstr>
      <vt:lpstr>RegiónDeTítuloDeColumna8..B20.1</vt:lpstr>
      <vt:lpstr>RegiónDeTítuloDeColumna9..B22.1</vt:lpstr>
      <vt:lpstr>RegiónDeTítuloDeFila1..G35</vt:lpstr>
      <vt:lpstr>Subtotal</vt:lpstr>
      <vt:lpstr>TipoImpositivo</vt:lpstr>
      <vt:lpstr>TítuloDeColumna1</vt:lpstr>
      <vt:lpstr>Propuesta!Títulos_a_imprimir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terms:created xsi:type="dcterms:W3CDTF">2017-07-30T18:12:27Z</dcterms:created>
  <dcterms:modified xsi:type="dcterms:W3CDTF">2018-11-19T08:26:29Z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v-shbahu@microsoft.com</vt:lpwstr>
  </property>
  <property fmtid="{D5CDD505-2E9C-101B-9397-08002B2CF9AE}" pid="5" name="MSIP_Label_f42aa342-8706-4288-bd11-ebb85995028c_SetDate">
    <vt:lpwstr>2018-02-27T06:18:03.4955505Z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